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results_summary/"/>
    </mc:Choice>
  </mc:AlternateContent>
  <xr:revisionPtr revIDLastSave="223" documentId="8_{E8B0B34E-3CE5-C34E-8A2F-7DC02E83A91F}" xr6:coauthVersionLast="47" xr6:coauthVersionMax="47" xr10:uidLastSave="{AB034ADE-1D76-D74D-B87A-C8079987296D}"/>
  <bookViews>
    <workbookView xWindow="320" yWindow="4560" windowWidth="31040" windowHeight="15900" xr2:uid="{0F592B18-6E21-ED45-9530-91214C842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2" i="1"/>
  <c r="T3" i="1"/>
  <c r="S4" i="1"/>
  <c r="S3" i="1"/>
  <c r="S2" i="1"/>
  <c r="P8" i="1"/>
  <c r="P7" i="1"/>
  <c r="P6" i="1"/>
  <c r="P3" i="1"/>
  <c r="P4" i="1"/>
  <c r="P2" i="1"/>
</calcChain>
</file>

<file path=xl/sharedStrings.xml><?xml version="1.0" encoding="utf-8"?>
<sst xmlns="http://schemas.openxmlformats.org/spreadsheetml/2006/main" count="36" uniqueCount="29">
  <si>
    <t>RH (%)</t>
  </si>
  <si>
    <t>gas-phase EBENZ mixing ratio (ppb) (arithmetic mean over final 24 hours of simulation)</t>
  </si>
  <si>
    <t>gas-phase BENZENE mixing ratio (ppb) (arithmetic mean over final 24 hours of simulation)</t>
  </si>
  <si>
    <t>gas-phase MXYL mixing ratio (ppb) (arithmetic mean over final 24 hours of simulation)</t>
  </si>
  <si>
    <t>gas-phase PXYL mixing ratio (ppb) (arithmetic mean over final 24 hours of simulation)</t>
  </si>
  <si>
    <t>gas-phase OXYL mixing ratio (ppb) (arithmetic mean over final 24 hours of simulation)</t>
  </si>
  <si>
    <t>particle-phase NCATECHOL mass concentration (ng/m-3) (arithmetic mean over final 24 hours of simulation)</t>
  </si>
  <si>
    <t>particle-phase OXNCATECH+PXNCATECH+MXNCATECH+ENCATECH mass concentration (ng/m-3) (arithmetic mean over final 24 hours of simulation)</t>
  </si>
  <si>
    <t>gas-phase BENZENE concentration (ug/m^3) (arithmetic mean over final 24 hours of simulation)</t>
  </si>
  <si>
    <t>gas-phase EBENZ mixing ratio (ug/m^3) (arithmetic mean over final 24 hours of simulation)</t>
  </si>
  <si>
    <t>gas-phase OXYL mixing ratio (ug/m^3) (arithmetic mean over final 24 hours of simulation)</t>
  </si>
  <si>
    <t>gas-phase MXYL mixing ratio (ug/m^3) (arithmetic mean over final 24 hours of simulation)</t>
  </si>
  <si>
    <t>gas-phase PXYL mixing ratio (ug/m^3) (arithmetic mean over final 24 hours of simulation)</t>
  </si>
  <si>
    <t>Location</t>
  </si>
  <si>
    <t>T (K)</t>
  </si>
  <si>
    <t>Mandalay</t>
  </si>
  <si>
    <t>Day through year</t>
  </si>
  <si>
    <t>Yangon</t>
  </si>
  <si>
    <t>Maximum OH number concentration (molecules/cm^3)</t>
  </si>
  <si>
    <t>Factor change in benzene (C6 precursor) influx rate from Yangon summer</t>
  </si>
  <si>
    <t>Yangon (hypothetical)</t>
  </si>
  <si>
    <t>particle-phase C8/C6 ratio w/o HO2 uptake to particles (no HO2 uptake test)</t>
  </si>
  <si>
    <t>particle-phase H2O concentration (ug/m^3) (arithmetic mean over final 24 hours of simulation)</t>
  </si>
  <si>
    <t>particle-phase C8/C6 ratio from full simulations (not test simulations)</t>
  </si>
  <si>
    <t>particle-phase C8/C6 ratio from observations (taken from reading Fig. 8)</t>
  </si>
  <si>
    <t>particle-phase C8/C6 ratio w/o varying HONO influx rate (no HONO dependence on gas-phase water concentration test, influx rate constant at 0.00066 ppb/s)</t>
  </si>
  <si>
    <t>Season</t>
  </si>
  <si>
    <t>Summer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</si>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</sst>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C8/C6 vs 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Full simulations (not tests)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Sheet1!$E$2:$E$8</c:f>
              <c:numCache>
                <c:formatCode>General</c:formatCode>
                <c:ptCount val="7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</c:numCache>
            </c:numRef>
          </c:xVal>
          <c:yVal>
            <c:numRef>
              <c:f>Sheet1!$P$2:$P$8</c:f>
              <c:numCache>
                <c:formatCode>General</c:formatCode>
                <c:ptCount val="7"/>
                <c:pt idx="0">
                  <c:v>0.4266304347826087</c:v>
                </c:pt>
                <c:pt idx="1">
                  <c:v>0.54226475279106856</c:v>
                </c:pt>
                <c:pt idx="2">
                  <c:v>0.69329529243937238</c:v>
                </c:pt>
                <c:pt idx="4">
                  <c:v>0.58094144661308833</c:v>
                </c:pt>
                <c:pt idx="5">
                  <c:v>0.51861042183622819</c:v>
                </c:pt>
                <c:pt idx="6">
                  <c:v>1.002262443438914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54-1547-B474-FD36ACBFC9F0}"/>
            </c:ext>
          </c:extLst>
        </c:ser>
        <c:ser>
          <c:idx val="1"/>
          <c:order val="1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Sheet1!$E$2:$E$4</c:f>
              <c:numCache>
                <c:formatCode>General</c:formatCode>
                <c:ptCount val="3"/>
                <c:pt idx="0">
                  <c:v>40</c:v>
                </c:pt>
                <c:pt idx="1">
                  <c:v>60</c:v>
                </c:pt>
                <c:pt idx="2">
                  <c:v>80</c:v>
                </c:pt>
              </c:numCache>
            </c:numRef>
          </c:xVal>
          <c:yVal>
            <c:numRef>
              <c:f>Sheet1!$Q$2:$Q$4</c:f>
              <c:numCache>
                <c:formatCode>General</c:formatCode>
                <c:ptCount val="3"/>
                <c:pt idx="0">
                  <c:v>0.27</c:v>
                </c:pt>
                <c:pt idx="1">
                  <c:v>0.48</c:v>
                </c:pt>
                <c:pt idx="2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54-1547-B474-FD36ACBFC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373615"/>
        <c:axId val="814231087"/>
      </c:scatterChart>
      <c:valAx>
        <c:axId val="81437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231087"/>
        <c:crosses val="autoZero"/>
        <c:crossBetween val="midCat"/>
      </c:valAx>
      <c:valAx>
        <c:axId val="81423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C8/C6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73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7</xdr:row>
      <xdr:rowOff>127000</xdr:rowOff>
    </xdr:from>
    <xdr:to>
      <xdr:col>16</xdr:col>
      <xdr:colOff>317500</xdr:colOff>
      <xdr:row>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9375B-1D92-F96E-C0BC-5BBB51716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F0C6-453A-A44C-9FB0-014D66AD5BD2}">
  <dimension ref="A1:T16"/>
  <sheetViews>
    <sheetView tabSelected="1" workbookViewId="0">
      <selection activeCell="C9" sqref="C9"/>
    </sheetView>
  </sheetViews>
  <sheetFormatPr baseColWidth="10" defaultRowHeight="16" x14ac:dyDescent="0.2"/>
  <sheetData>
    <row r="1" spans="1:20" x14ac:dyDescent="0.2">
      <c r="A1" t="s">
        <v>13</v>
      </c>
      <c r="B1" t="s">
        <v>14</v>
      </c>
      <c r="C1" t="s">
        <v>26</v>
      </c>
      <c r="D1" t="s">
        <v>16</v>
      </c>
      <c r="E1" t="s">
        <v>0</v>
      </c>
      <c r="F1" t="s">
        <v>19</v>
      </c>
      <c r="G1" t="s">
        <v>18</v>
      </c>
      <c r="H1" t="s">
        <v>22</v>
      </c>
      <c r="I1" t="s">
        <v>2</v>
      </c>
      <c r="J1" t="s">
        <v>1</v>
      </c>
      <c r="K1" t="s">
        <v>5</v>
      </c>
      <c r="L1" s="1" t="s">
        <v>3</v>
      </c>
      <c r="M1" s="1" t="s">
        <v>4</v>
      </c>
      <c r="N1" t="s">
        <v>6</v>
      </c>
      <c r="O1" t="s">
        <v>7</v>
      </c>
      <c r="P1" s="3" t="s">
        <v>23</v>
      </c>
      <c r="Q1" s="4" t="s">
        <v>24</v>
      </c>
      <c r="R1" s="4"/>
      <c r="S1" t="s">
        <v>21</v>
      </c>
      <c r="T1" t="s">
        <v>25</v>
      </c>
    </row>
    <row r="2" spans="1:20" x14ac:dyDescent="0.2">
      <c r="A2" t="s">
        <v>15</v>
      </c>
      <c r="B2">
        <v>302.95</v>
      </c>
      <c r="C2" t="s">
        <v>27</v>
      </c>
      <c r="D2">
        <v>90</v>
      </c>
      <c r="E2">
        <v>40</v>
      </c>
      <c r="F2">
        <v>3</v>
      </c>
      <c r="G2" s="2">
        <v>5200000</v>
      </c>
      <c r="H2" s="2">
        <v>27.97</v>
      </c>
      <c r="I2">
        <v>3.57</v>
      </c>
      <c r="J2">
        <v>0.4</v>
      </c>
      <c r="K2">
        <v>0.26</v>
      </c>
      <c r="L2">
        <v>0.37</v>
      </c>
      <c r="M2">
        <v>0.39</v>
      </c>
      <c r="N2">
        <v>14.72</v>
      </c>
      <c r="O2">
        <v>6.28</v>
      </c>
      <c r="P2" s="3">
        <f>O2/N2</f>
        <v>0.4266304347826087</v>
      </c>
      <c r="Q2">
        <v>0.27</v>
      </c>
      <c r="S2">
        <f>(7.23/26.1)</f>
        <v>0.27701149425287358</v>
      </c>
      <c r="T2">
        <f>(6.28/14.72)</f>
        <v>0.4266304347826087</v>
      </c>
    </row>
    <row r="3" spans="1:20" x14ac:dyDescent="0.2">
      <c r="A3" t="s">
        <v>15</v>
      </c>
      <c r="B3">
        <v>295.5</v>
      </c>
      <c r="C3" t="s">
        <v>28</v>
      </c>
      <c r="D3">
        <v>1</v>
      </c>
      <c r="E3">
        <v>60</v>
      </c>
      <c r="F3">
        <v>3</v>
      </c>
      <c r="G3" s="2">
        <v>3400000</v>
      </c>
      <c r="H3" s="2">
        <v>48.48</v>
      </c>
      <c r="I3">
        <v>3.58</v>
      </c>
      <c r="J3">
        <v>0.41</v>
      </c>
      <c r="K3">
        <v>0.27</v>
      </c>
      <c r="L3">
        <v>0.39</v>
      </c>
      <c r="M3">
        <v>0.4</v>
      </c>
      <c r="N3">
        <v>6.27</v>
      </c>
      <c r="O3">
        <v>3.4</v>
      </c>
      <c r="P3" s="3">
        <f t="shared" ref="P3:P4" si="0">O3/N3</f>
        <v>0.54226475279106856</v>
      </c>
      <c r="Q3">
        <v>0.48</v>
      </c>
      <c r="S3">
        <f>(3.93/8.59)</f>
        <v>0.45750873108265427</v>
      </c>
      <c r="T3">
        <f>(3.4/6.27)</f>
        <v>0.54226475279106856</v>
      </c>
    </row>
    <row r="4" spans="1:20" x14ac:dyDescent="0.2">
      <c r="A4" t="s">
        <v>15</v>
      </c>
      <c r="B4">
        <v>295.5</v>
      </c>
      <c r="C4" t="s">
        <v>28</v>
      </c>
      <c r="D4">
        <v>1</v>
      </c>
      <c r="E4">
        <v>80</v>
      </c>
      <c r="F4">
        <v>3</v>
      </c>
      <c r="G4" s="2">
        <v>3700000</v>
      </c>
      <c r="H4" s="2">
        <v>116.06</v>
      </c>
      <c r="I4">
        <v>3.58</v>
      </c>
      <c r="J4">
        <v>0.41</v>
      </c>
      <c r="K4">
        <v>0.27</v>
      </c>
      <c r="L4">
        <v>0.39</v>
      </c>
      <c r="M4">
        <v>0.4</v>
      </c>
      <c r="N4">
        <v>7.01</v>
      </c>
      <c r="O4">
        <v>4.8600000000000003</v>
      </c>
      <c r="P4" s="3">
        <f t="shared" si="0"/>
        <v>0.69329529243937238</v>
      </c>
      <c r="Q4">
        <v>0.57999999999999996</v>
      </c>
      <c r="S4">
        <f>(6.04/10.72)</f>
        <v>0.56343283582089554</v>
      </c>
      <c r="T4">
        <f>(4.86/7.01)</f>
        <v>0.69329529243937238</v>
      </c>
    </row>
    <row r="5" spans="1:20" x14ac:dyDescent="0.2">
      <c r="P5" s="3"/>
    </row>
    <row r="6" spans="1:20" x14ac:dyDescent="0.2">
      <c r="A6" t="s">
        <v>17</v>
      </c>
      <c r="B6">
        <v>303.55</v>
      </c>
      <c r="C6" t="s">
        <v>27</v>
      </c>
      <c r="D6">
        <v>90</v>
      </c>
      <c r="E6">
        <v>70</v>
      </c>
      <c r="F6">
        <v>1</v>
      </c>
      <c r="G6" s="2">
        <v>7700000</v>
      </c>
      <c r="H6" s="2">
        <v>38.159999999999997</v>
      </c>
      <c r="I6">
        <v>1.19</v>
      </c>
      <c r="J6">
        <v>0.4</v>
      </c>
      <c r="K6">
        <v>0.25</v>
      </c>
      <c r="L6">
        <v>0.36</v>
      </c>
      <c r="M6">
        <v>0.38</v>
      </c>
      <c r="N6">
        <v>8.7100000000000009</v>
      </c>
      <c r="O6">
        <v>5.0599999999999996</v>
      </c>
      <c r="P6" s="3">
        <f>O6/N6</f>
        <v>0.58094144661308833</v>
      </c>
    </row>
    <row r="7" spans="1:20" x14ac:dyDescent="0.2">
      <c r="A7" t="s">
        <v>17</v>
      </c>
      <c r="B7">
        <v>300.55</v>
      </c>
      <c r="C7" t="s">
        <v>28</v>
      </c>
      <c r="D7">
        <v>1</v>
      </c>
      <c r="E7">
        <v>70</v>
      </c>
      <c r="F7">
        <v>2</v>
      </c>
      <c r="G7" s="2">
        <v>4900000</v>
      </c>
      <c r="H7" s="2">
        <v>48.15</v>
      </c>
      <c r="I7">
        <v>2.38</v>
      </c>
      <c r="J7">
        <v>0.4</v>
      </c>
      <c r="K7">
        <v>0.26</v>
      </c>
      <c r="L7">
        <v>0.38</v>
      </c>
      <c r="M7">
        <v>0.39</v>
      </c>
      <c r="N7">
        <v>8.06</v>
      </c>
      <c r="O7">
        <v>4.18</v>
      </c>
      <c r="P7" s="3">
        <f>O7/N7</f>
        <v>0.51861042183622819</v>
      </c>
    </row>
    <row r="8" spans="1:20" x14ac:dyDescent="0.2">
      <c r="A8" t="s">
        <v>20</v>
      </c>
      <c r="B8">
        <v>300.55</v>
      </c>
      <c r="C8" t="s">
        <v>28</v>
      </c>
      <c r="D8">
        <v>1</v>
      </c>
      <c r="E8">
        <v>70</v>
      </c>
      <c r="F8">
        <v>1</v>
      </c>
      <c r="G8" s="2">
        <v>5100000</v>
      </c>
      <c r="H8" s="2">
        <v>48.23</v>
      </c>
      <c r="I8">
        <v>1.19</v>
      </c>
      <c r="J8">
        <v>0.4</v>
      </c>
      <c r="K8">
        <v>0.26</v>
      </c>
      <c r="L8">
        <v>0.38</v>
      </c>
      <c r="M8">
        <v>0.39</v>
      </c>
      <c r="N8">
        <v>4.42</v>
      </c>
      <c r="O8">
        <v>4.43</v>
      </c>
      <c r="P8" s="3">
        <f>O8/N8</f>
        <v>1.002262443438914</v>
      </c>
    </row>
    <row r="9" spans="1:20" x14ac:dyDescent="0.2">
      <c r="I9" t="s">
        <v>8</v>
      </c>
      <c r="J9" t="s">
        <v>9</v>
      </c>
      <c r="K9" t="s">
        <v>10</v>
      </c>
      <c r="L9" s="1" t="s">
        <v>11</v>
      </c>
      <c r="M9" s="1" t="s">
        <v>12</v>
      </c>
    </row>
    <row r="10" spans="1:20" x14ac:dyDescent="0.2">
      <c r="I10">
        <v>11.22</v>
      </c>
      <c r="J10">
        <v>1.72</v>
      </c>
      <c r="K10">
        <v>1.1100000000000001</v>
      </c>
      <c r="L10">
        <v>1.59</v>
      </c>
      <c r="M10">
        <v>1.65</v>
      </c>
    </row>
    <row r="11" spans="1:20" x14ac:dyDescent="0.2">
      <c r="I11">
        <v>11.53</v>
      </c>
      <c r="J11">
        <v>1.79</v>
      </c>
      <c r="K11">
        <v>1.17</v>
      </c>
      <c r="L11">
        <v>1.7</v>
      </c>
      <c r="M11">
        <v>1.75</v>
      </c>
    </row>
    <row r="12" spans="1:20" x14ac:dyDescent="0.2">
      <c r="I12">
        <v>11.53</v>
      </c>
      <c r="J12">
        <v>1.79</v>
      </c>
      <c r="K12">
        <v>1.1599999999999999</v>
      </c>
      <c r="L12">
        <v>1.7</v>
      </c>
      <c r="M12">
        <v>1.74</v>
      </c>
    </row>
    <row r="14" spans="1:20" x14ac:dyDescent="0.2">
      <c r="I14">
        <v>3.72</v>
      </c>
      <c r="J14">
        <v>1.68</v>
      </c>
      <c r="K14">
        <v>1.07</v>
      </c>
      <c r="L14">
        <v>1.52</v>
      </c>
      <c r="M14">
        <v>1.6</v>
      </c>
    </row>
    <row r="15" spans="1:20" x14ac:dyDescent="0.2">
      <c r="I15">
        <v>7.55</v>
      </c>
      <c r="J15">
        <v>1.74</v>
      </c>
      <c r="K15">
        <v>1.1200000000000001</v>
      </c>
      <c r="L15">
        <v>1.62</v>
      </c>
      <c r="M15">
        <v>1.68</v>
      </c>
    </row>
    <row r="16" spans="1:20" x14ac:dyDescent="0.2">
      <c r="I16">
        <v>3.77</v>
      </c>
      <c r="J16">
        <v>1.74</v>
      </c>
      <c r="K16">
        <v>1.1200000000000001</v>
      </c>
      <c r="L16">
        <v>1.62</v>
      </c>
      <c r="M16">
        <v>1.68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2026-03-03T11:45:23Z</dcterms:created>
  <dcterms:modified xsi:type="dcterms:W3CDTF">2026-03-05T09:55:21Z</dcterms:modified>
</cp:coreProperties>
</file>